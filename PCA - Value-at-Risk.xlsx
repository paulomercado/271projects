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chool\ADMU\M AMF\SEM 2\271.7\"/>
    </mc:Choice>
  </mc:AlternateContent>
  <xr:revisionPtr revIDLastSave="0" documentId="13_ncr:1_{CBE8964D-EAB8-403E-8006-17A8D3B7F604}" xr6:coauthVersionLast="47" xr6:coauthVersionMax="47" xr10:uidLastSave="{00000000-0000-0000-0000-000000000000}"/>
  <bookViews>
    <workbookView xWindow="-120" yWindow="-120" windowWidth="29040" windowHeight="15720" xr2:uid="{BB53B0CD-5592-4E39-BBDE-5EAB7EC1582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14" i="1" a="1"/>
  <c r="B14" i="1" s="1"/>
  <c r="B8" i="1"/>
  <c r="B6" i="1"/>
  <c r="C6" i="1"/>
  <c r="D6" i="1"/>
  <c r="E6" i="1"/>
  <c r="F6" i="1"/>
  <c r="B7" i="1"/>
  <c r="F7" i="1"/>
  <c r="F8" i="1" s="1"/>
  <c r="E7" i="1"/>
  <c r="E8" i="1" s="1"/>
  <c r="D7" i="1"/>
  <c r="D8" i="1" s="1"/>
  <c r="C7" i="1"/>
  <c r="C8" i="1" s="1"/>
  <c r="F5" i="1"/>
  <c r="E5" i="1"/>
  <c r="D5" i="1"/>
  <c r="C5" i="1"/>
  <c r="B5" i="1"/>
  <c r="B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<sst xmlns="http://schemas.openxmlformats.org/spreadsheetml/2006/main" count="19" uniqueCount="17">
  <si>
    <t>Bonds</t>
  </si>
  <si>
    <t>2y</t>
  </si>
  <si>
    <t>3y</t>
  </si>
  <si>
    <t>5y</t>
  </si>
  <si>
    <t>Total</t>
  </si>
  <si>
    <t>r</t>
  </si>
  <si>
    <t>-BiTi (bps)</t>
  </si>
  <si>
    <t>a_i1</t>
  </si>
  <si>
    <t>f1</t>
  </si>
  <si>
    <t>VaR</t>
  </si>
  <si>
    <t>Bi</t>
  </si>
  <si>
    <t>BiTi ($)</t>
  </si>
  <si>
    <t>f2</t>
  </si>
  <si>
    <t>f3</t>
  </si>
  <si>
    <t>a_i2</t>
  </si>
  <si>
    <t>a_i3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</si>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</sst>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73" formatCode="_(&quot;$&quot;* #,##0.00000000_);_(&quot;$&quot;* \(#,##0.00000000\);_(&quot;$&quot;* &quot;-&quot;??_);_(@_)"/>
  </numFmts>
  <fonts count="3" x14ac:knownFonts="1">
    <font>
      <sz val="11"/>
      <color theme="1"/>
      <name val="Calibri"/>
      <family val="2"/>
      <scheme val="minor"/>
    </font>
    <font>
      <sz val="10"/>
      <color rgb="FF000000"/>
      <name val="Lucida Console"/>
      <family val="3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5">
    <xf numFmtId="0" fontId="0" fillId="0" borderId="0" xfId="0"/>
    <xf numFmtId="9" fontId="0" fillId="0" borderId="0" xfId="0" applyNumberFormat="1"/>
    <xf numFmtId="0" fontId="0" fillId="0" borderId="0" xfId="0" quotePrefix="1"/>
    <xf numFmtId="0" fontId="1" fillId="0" borderId="0" xfId="0" applyFont="1" applyAlignment="1">
      <alignment vertical="center"/>
    </xf>
    <xf numFmtId="173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9A5FF-6CEA-4BCB-85D6-88F54F0CF564}">
  <dimension ref="A1:I20"/>
  <sheetViews>
    <sheetView tabSelected="1" zoomScale="180" zoomScaleNormal="180" workbookViewId="0">
      <selection activeCell="I10" sqref="I10"/>
    </sheetView>
  </sheetViews>
  <sheetFormatPr defaultColWidth="8.85546875" defaultRowHeight="15" x14ac:dyDescent="0.25"/>
  <cols>
    <col min="2" max="2" width="13.140625" bestFit="1" customWidth="1"/>
  </cols>
  <sheetData>
    <row r="1" spans="1:9" x14ac:dyDescent="0.25">
      <c r="A1" t="s">
        <v>0</v>
      </c>
      <c r="B1">
        <v>1</v>
      </c>
      <c r="C1">
        <v>2</v>
      </c>
      <c r="D1">
        <v>3</v>
      </c>
      <c r="E1">
        <v>4</v>
      </c>
      <c r="F1">
        <v>5</v>
      </c>
      <c r="H1" t="s">
        <v>5</v>
      </c>
      <c r="I1" s="1">
        <v>0.05</v>
      </c>
    </row>
    <row r="2" spans="1:9" x14ac:dyDescent="0.25">
      <c r="A2" t="s">
        <v>1</v>
      </c>
      <c r="B2">
        <f>5</f>
        <v>5</v>
      </c>
      <c r="C2">
        <v>105</v>
      </c>
    </row>
    <row r="3" spans="1:9" x14ac:dyDescent="0.25">
      <c r="A3" t="s">
        <v>2</v>
      </c>
      <c r="B3">
        <v>5</v>
      </c>
      <c r="C3">
        <v>5</v>
      </c>
      <c r="D3">
        <v>105</v>
      </c>
    </row>
    <row r="4" spans="1:9" x14ac:dyDescent="0.25">
      <c r="A4" t="s">
        <v>3</v>
      </c>
      <c r="B4">
        <v>-5</v>
      </c>
      <c r="C4">
        <v>-5</v>
      </c>
      <c r="D4">
        <v>-5</v>
      </c>
      <c r="E4">
        <v>-5</v>
      </c>
      <c r="F4">
        <v>-105</v>
      </c>
    </row>
    <row r="5" spans="1:9" x14ac:dyDescent="0.25">
      <c r="A5" t="s">
        <v>4</v>
      </c>
      <c r="B5">
        <f>SUM(B2:B4)</f>
        <v>5</v>
      </c>
      <c r="C5">
        <f t="shared" ref="C5:F5" si="0">SUM(C2:C4)</f>
        <v>105</v>
      </c>
      <c r="D5">
        <f t="shared" si="0"/>
        <v>100</v>
      </c>
      <c r="E5">
        <f t="shared" si="0"/>
        <v>-5</v>
      </c>
      <c r="F5">
        <f t="shared" si="0"/>
        <v>-105</v>
      </c>
    </row>
    <row r="6" spans="1:9" x14ac:dyDescent="0.25">
      <c r="A6" s="2" t="s">
        <v>10</v>
      </c>
      <c r="B6">
        <f>B5*EXP(-$I$1*B1)</f>
        <v>4.7561471225035703</v>
      </c>
      <c r="C6">
        <f t="shared" ref="C6:F6" si="1">C5*EXP(-$I$1*C1)</f>
        <v>95.007928893775755</v>
      </c>
      <c r="D6">
        <f t="shared" si="1"/>
        <v>86.070797642505781</v>
      </c>
      <c r="E6">
        <f t="shared" si="1"/>
        <v>-4.0936537653899094</v>
      </c>
      <c r="F6">
        <f t="shared" si="1"/>
        <v>-81.774082222497512</v>
      </c>
    </row>
    <row r="7" spans="1:9" x14ac:dyDescent="0.25">
      <c r="A7" s="2" t="s">
        <v>11</v>
      </c>
      <c r="B7">
        <f>B6*B1</f>
        <v>4.7561471225035703</v>
      </c>
      <c r="C7">
        <f t="shared" ref="C7:F7" si="2">C6*C1</f>
        <v>190.01585778755151</v>
      </c>
      <c r="D7">
        <f t="shared" si="2"/>
        <v>258.21239292751733</v>
      </c>
      <c r="E7">
        <f t="shared" si="2"/>
        <v>-16.374615061559638</v>
      </c>
      <c r="F7">
        <f t="shared" si="2"/>
        <v>-408.87041111248755</v>
      </c>
    </row>
    <row r="8" spans="1:9" x14ac:dyDescent="0.25">
      <c r="A8" s="2" t="s">
        <v>6</v>
      </c>
      <c r="B8">
        <f>-B7/10000</f>
        <v>-4.7561471225035702E-4</v>
      </c>
      <c r="C8">
        <f t="shared" ref="C8:F8" si="3">-C7/10000</f>
        <v>-1.9001585778755152E-2</v>
      </c>
      <c r="D8">
        <f t="shared" si="3"/>
        <v>-2.5821239292751732E-2</v>
      </c>
      <c r="E8">
        <f t="shared" si="3"/>
        <v>1.6374615061559637E-3</v>
      </c>
      <c r="F8">
        <f t="shared" si="3"/>
        <v>4.0887041111248752E-2</v>
      </c>
    </row>
    <row r="9" spans="1:9" x14ac:dyDescent="0.25">
      <c r="I9" t="s">
        <v>16</v>
      </c>
    </row>
    <row r="10" spans="1:9" x14ac:dyDescent="0.25">
      <c r="A10" t="s">
        <v>7</v>
      </c>
      <c r="B10" s="3">
        <v>-0.3195963</v>
      </c>
      <c r="C10" s="3">
        <v>-0.33268530000000002</v>
      </c>
      <c r="D10" s="3">
        <v>-0.33889849999999999</v>
      </c>
      <c r="E10" s="3">
        <v>-0.34253509999999998</v>
      </c>
      <c r="F10" s="3">
        <v>-0.33920400000000001</v>
      </c>
      <c r="I10" s="3">
        <v>2.8721999999999999</v>
      </c>
    </row>
    <row r="11" spans="1:9" x14ac:dyDescent="0.25">
      <c r="A11" t="s">
        <v>14</v>
      </c>
      <c r="B11" s="3">
        <v>-0.2277486</v>
      </c>
      <c r="C11" s="3">
        <v>-4.8525199999999998E-2</v>
      </c>
      <c r="D11" s="3">
        <v>5.2278400000000003E-2</v>
      </c>
      <c r="E11" s="3">
        <v>0.1014145</v>
      </c>
      <c r="F11" s="3">
        <v>0.14821239999999999</v>
      </c>
      <c r="I11" s="3">
        <v>1.0503</v>
      </c>
    </row>
    <row r="12" spans="1:9" x14ac:dyDescent="0.25">
      <c r="A12" t="s">
        <v>15</v>
      </c>
      <c r="B12" s="3">
        <v>-0.36612274</v>
      </c>
      <c r="C12" s="3">
        <v>-0.39036187999999999</v>
      </c>
      <c r="D12" s="3">
        <v>-0.26995828999999999</v>
      </c>
      <c r="E12" s="3">
        <v>-0.17182674000000001</v>
      </c>
      <c r="F12" s="3">
        <v>-7.0772459999999995E-2</v>
      </c>
      <c r="I12" s="3">
        <v>0.53985000000000005</v>
      </c>
    </row>
    <row r="14" spans="1:9" x14ac:dyDescent="0.25">
      <c r="A14" t="s">
        <v>8</v>
      </c>
      <c r="B14" cm="1">
        <f t="array" ref="B14:B16">MMULT(B10:F12,TRANSPOSE(B8:F8))</f>
        <v>7.9439629813898849E-4</v>
      </c>
    </row>
    <row r="15" spans="1:9" x14ac:dyDescent="0.25">
      <c r="A15" t="s">
        <v>12</v>
      </c>
      <c r="B15">
        <v>5.9065120907563773E-3</v>
      </c>
    </row>
    <row r="16" spans="1:9" x14ac:dyDescent="0.25">
      <c r="A16" t="s">
        <v>13</v>
      </c>
      <c r="B16">
        <v>1.1387249560319126E-2</v>
      </c>
    </row>
    <row r="18" spans="1:2" x14ac:dyDescent="0.25">
      <c r="A18" t="s">
        <v>9</v>
      </c>
      <c r="B18" s="4">
        <f>B14^2*I10^2*NORMSINV(0.95)</f>
        <v>8.5631003975727246E-6</v>
      </c>
    </row>
    <row r="19" spans="1:2" x14ac:dyDescent="0.25">
      <c r="A19" t="s">
        <v>9</v>
      </c>
      <c r="B19" s="4">
        <f>B15^2*I11^2*NORMSINV(0.95)+B18</f>
        <v>7.1864918316408351E-5</v>
      </c>
    </row>
    <row r="20" spans="1:2" x14ac:dyDescent="0.25">
      <c r="A20" t="s">
        <v>9</v>
      </c>
      <c r="B20" s="4">
        <f>B16^2*I12^2*NORMSINV(0.95)+B19</f>
        <v>1.3402493831437282E-4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Paulo John Mercado</cp:lastModifiedBy>
  <dcterms:created xsi:type="dcterms:W3CDTF">2026-01-22T04:00:04Z</dcterms:created>
  <dcterms:modified xsi:type="dcterms:W3CDTF">2026-01-27T14:18:44Z</dcterms:modified>
</cp:coreProperties>
</file>