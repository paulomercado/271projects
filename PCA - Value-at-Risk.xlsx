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\ADMU\M AMF\SEM 2\271.7\"/>
    </mc:Choice>
  </mc:AlternateContent>
  <xr:revisionPtr revIDLastSave="0" documentId="13_ncr:1_{9C8CE876-7C7B-4181-9B4C-3AA5ED27A1ED}" xr6:coauthVersionLast="47" xr6:coauthVersionMax="47" xr10:uidLastSave="{00000000-0000-0000-0000-000000000000}"/>
  <bookViews>
    <workbookView xWindow="4125" yWindow="2655" windowWidth="21600" windowHeight="11295" xr2:uid="{BB53B0CD-5592-4E39-BBDE-5EAB7EC15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8" i="1"/>
  <c r="B7" i="1"/>
  <c r="B6" i="1"/>
  <c r="F8" i="1"/>
  <c r="E8" i="1"/>
  <c r="D8" i="1"/>
  <c r="C8" i="1"/>
  <c r="F6" i="1"/>
  <c r="F7" i="1" s="1"/>
  <c r="E6" i="1"/>
  <c r="E7" i="1" s="1"/>
  <c r="D6" i="1"/>
  <c r="D7" i="1" s="1"/>
  <c r="C6" i="1"/>
  <c r="C7" i="1" s="1"/>
  <c r="F5" i="1"/>
  <c r="E5" i="1"/>
  <c r="D5" i="1"/>
  <c r="C5" i="1"/>
  <c r="B5" i="1"/>
  <c r="B2" i="1"/>
</calcChain>
</file>

<file path=xl/sharedStrings.xml><?xml version="1.0" encoding="utf-8"?>
<sst xmlns="http://schemas.openxmlformats.org/spreadsheetml/2006/main" count="12" uniqueCount="12">
  <si>
    <t>Bonds</t>
  </si>
  <si>
    <t>2y</t>
  </si>
  <si>
    <t>3y</t>
  </si>
  <si>
    <t>5y</t>
  </si>
  <si>
    <t>Total</t>
  </si>
  <si>
    <t>r</t>
  </si>
  <si>
    <t>-BiTi (bps)</t>
  </si>
  <si>
    <t>a_i1</t>
  </si>
  <si>
    <t>f1</t>
  </si>
  <si>
    <t>VaR</t>
  </si>
  <si>
    <t>Bi</t>
  </si>
  <si>
    <t>BiTi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</si>
</sst>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0" fillId="0" borderId="0" xfId="0" quotePrefix="1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A5FF-6CEA-4BCB-85D6-88F54F0CF564}">
  <dimension ref="A1:I12"/>
  <sheetViews>
    <sheetView tabSelected="1" zoomScale="180" zoomScaleNormal="180" workbookViewId="0">
      <selection activeCell="D9" sqref="D9"/>
    </sheetView>
  </sheetViews>
  <sheetFormatPr defaultColWidth="8.85546875" defaultRowHeight="15" x14ac:dyDescent="0.25"/>
  <cols>
    <col min="2" max="2" width="12.28515625" bestFit="1" customWidth="1"/>
  </cols>
  <sheetData>
    <row r="1" spans="1:9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H1" t="s">
        <v>5</v>
      </c>
      <c r="I1" s="1">
        <v>0.05</v>
      </c>
    </row>
    <row r="2" spans="1:9" x14ac:dyDescent="0.25">
      <c r="A2" t="s">
        <v>1</v>
      </c>
      <c r="B2">
        <f>5</f>
        <v>5</v>
      </c>
      <c r="C2">
        <v>105</v>
      </c>
    </row>
    <row r="3" spans="1:9" x14ac:dyDescent="0.25">
      <c r="A3" t="s">
        <v>2</v>
      </c>
      <c r="B3">
        <v>5</v>
      </c>
      <c r="C3">
        <v>5</v>
      </c>
      <c r="D3">
        <v>105</v>
      </c>
    </row>
    <row r="4" spans="1:9" x14ac:dyDescent="0.25">
      <c r="A4" t="s">
        <v>3</v>
      </c>
      <c r="B4">
        <v>-5</v>
      </c>
      <c r="C4">
        <v>-5</v>
      </c>
      <c r="D4">
        <v>-5</v>
      </c>
      <c r="E4">
        <v>-5</v>
      </c>
      <c r="F4">
        <v>-105</v>
      </c>
    </row>
    <row r="5" spans="1:9" x14ac:dyDescent="0.25">
      <c r="A5" t="s">
        <v>4</v>
      </c>
      <c r="B5">
        <f>SUM(B2:B4)</f>
        <v>5</v>
      </c>
      <c r="C5">
        <f t="shared" ref="C5:F5" si="0">SUM(C2:C4)</f>
        <v>105</v>
      </c>
      <c r="D5">
        <f t="shared" si="0"/>
        <v>100</v>
      </c>
      <c r="E5">
        <f t="shared" si="0"/>
        <v>-5</v>
      </c>
      <c r="F5">
        <f t="shared" si="0"/>
        <v>-105</v>
      </c>
    </row>
    <row r="6" spans="1:9" x14ac:dyDescent="0.25">
      <c r="A6" s="2" t="s">
        <v>10</v>
      </c>
      <c r="B6">
        <f>B5*EXP(-$I$1*B1)</f>
        <v>4.7561471225035703</v>
      </c>
      <c r="C6">
        <f t="shared" ref="C6:F6" si="1">C5*EXP(-$I$1*C1)</f>
        <v>95.007928893775755</v>
      </c>
      <c r="D6">
        <f t="shared" si="1"/>
        <v>86.070797642505781</v>
      </c>
      <c r="E6">
        <f t="shared" si="1"/>
        <v>-4.0936537653899094</v>
      </c>
      <c r="F6">
        <f t="shared" si="1"/>
        <v>-81.774082222497512</v>
      </c>
    </row>
    <row r="7" spans="1:9" x14ac:dyDescent="0.25">
      <c r="A7" s="2" t="s">
        <v>11</v>
      </c>
      <c r="B7">
        <f>B6*B1</f>
        <v>4.7561471225035703</v>
      </c>
      <c r="C7">
        <f t="shared" ref="C7:F7" si="2">C6*C1</f>
        <v>190.01585778755151</v>
      </c>
      <c r="D7">
        <f t="shared" si="2"/>
        <v>258.21239292751733</v>
      </c>
      <c r="E7">
        <f t="shared" si="2"/>
        <v>-16.374615061559638</v>
      </c>
      <c r="F7">
        <f t="shared" si="2"/>
        <v>-408.87041111248755</v>
      </c>
    </row>
    <row r="8" spans="1:9" x14ac:dyDescent="0.25">
      <c r="A8" s="2" t="s">
        <v>6</v>
      </c>
      <c r="B8">
        <f>-B7/10000</f>
        <v>-4.7561471225035702E-4</v>
      </c>
      <c r="C8">
        <f t="shared" ref="C8:F8" si="3">-C7/10000</f>
        <v>-1.9001585778755152E-2</v>
      </c>
      <c r="D8">
        <f t="shared" si="3"/>
        <v>-2.5821239292751732E-2</v>
      </c>
      <c r="E8">
        <f t="shared" si="3"/>
        <v>1.6374615061559637E-3</v>
      </c>
      <c r="F8">
        <f t="shared" si="3"/>
        <v>4.0887041111248752E-2</v>
      </c>
      <c r="H8" s="4">
        <v>2.93</v>
      </c>
    </row>
    <row r="9" spans="1:9" x14ac:dyDescent="0.25">
      <c r="H9" s="5">
        <v>0.92013</v>
      </c>
    </row>
    <row r="10" spans="1:9" x14ac:dyDescent="0.25">
      <c r="A10" t="s">
        <v>7</v>
      </c>
      <c r="B10">
        <v>-0.31562010000000001</v>
      </c>
      <c r="C10" s="3">
        <v>-0.3299318</v>
      </c>
      <c r="D10" s="3">
        <v>-0.33092759999999999</v>
      </c>
      <c r="E10" s="3">
        <v>-0.32935330000000002</v>
      </c>
      <c r="F10" s="3">
        <v>-0.32493850000000002</v>
      </c>
      <c r="H10" s="5">
        <v>0.39807999999999999</v>
      </c>
    </row>
    <row r="11" spans="1:9" x14ac:dyDescent="0.25">
      <c r="A11" t="s">
        <v>8</v>
      </c>
      <c r="B11">
        <f>SUMPRODUCT(B8:F8,B10:F10)</f>
        <v>1.1392245512541043E-3</v>
      </c>
    </row>
    <row r="12" spans="1:9" x14ac:dyDescent="0.25">
      <c r="A12" t="s">
        <v>9</v>
      </c>
      <c r="B12">
        <f>B11^2*H8^2*NORMSINV(0.95)</f>
        <v>1.8326569117386671E-5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Paulo John Mercado</cp:lastModifiedBy>
  <dcterms:created xsi:type="dcterms:W3CDTF">2026-01-22T04:00:04Z</dcterms:created>
  <dcterms:modified xsi:type="dcterms:W3CDTF">2026-01-25T07:41:47Z</dcterms:modified>
</cp:coreProperties>
</file>